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chakov/R/_criminology/create_victimization_data/datapaper/data/4-EGS/"/>
    </mc:Choice>
  </mc:AlternateContent>
  <xr:revisionPtr revIDLastSave="0" documentId="13_ncr:1_{2024E5BE-7CBA-4541-8F2D-D034B2EF4946}" xr6:coauthVersionLast="47" xr6:coauthVersionMax="47" xr10:uidLastSave="{00000000-0000-0000-0000-000000000000}"/>
  <bookViews>
    <workbookView xWindow="14040" yWindow="5680" windowWidth="17560" windowHeight="14620" xr2:uid="{6CC5E0B2-2303-7647-A6EF-C86B03C9541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B10" i="1"/>
  <c r="B12" i="1"/>
  <c r="B13" i="1"/>
  <c r="D13" i="1"/>
  <c r="C13" i="1"/>
  <c r="C12" i="1"/>
  <c r="D12" i="1"/>
  <c r="D11" i="1"/>
  <c r="C11" i="1"/>
</calcChain>
</file>

<file path=xl/sharedStrings.xml><?xml version="1.0" encoding="utf-8"?>
<sst xmlns="http://schemas.openxmlformats.org/spreadsheetml/2006/main" count="11" uniqueCount="11">
  <si>
    <t>Всего</t>
  </si>
  <si>
    <t>ИКТ. кража ст. 158 УК РФ</t>
  </si>
  <si>
    <t>ИКТ. мошенничества ст. 159, 159.3, 159.6 УК РФ</t>
  </si>
  <si>
    <t>Разбой</t>
  </si>
  <si>
    <t>Грабеж</t>
  </si>
  <si>
    <t>Кража</t>
  </si>
  <si>
    <t>мошенничества ст. 159-159.6 УК РФ</t>
  </si>
  <si>
    <t>theft</t>
  </si>
  <si>
    <t>fraud</t>
  </si>
  <si>
    <t>cybercime</t>
  </si>
  <si>
    <t>robbery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</si>
</sst>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46F2-6471-4847-B62C-947FE30BF321}">
  <dimension ref="A1:D13"/>
  <sheetViews>
    <sheetView tabSelected="1" workbookViewId="0">
      <selection activeCell="C21" sqref="C21"/>
    </sheetView>
  </sheetViews>
  <sheetFormatPr baseColWidth="10" defaultRowHeight="16" x14ac:dyDescent="0.2"/>
  <cols>
    <col min="1" max="1" width="37.1640625" bestFit="1" customWidth="1"/>
  </cols>
  <sheetData>
    <row r="1" spans="1:4" x14ac:dyDescent="0.2">
      <c r="B1">
        <v>2018</v>
      </c>
      <c r="C1">
        <v>2021</v>
      </c>
      <c r="D1">
        <v>2024</v>
      </c>
    </row>
    <row r="2" spans="1:4" x14ac:dyDescent="0.2">
      <c r="A2" t="s">
        <v>0</v>
      </c>
      <c r="B2">
        <v>1991532</v>
      </c>
      <c r="C2">
        <v>2004404</v>
      </c>
      <c r="D2">
        <v>1911258</v>
      </c>
    </row>
    <row r="3" spans="1:4" x14ac:dyDescent="0.2">
      <c r="A3" t="s">
        <v>3</v>
      </c>
      <c r="B3">
        <v>7474</v>
      </c>
      <c r="C3">
        <v>4436</v>
      </c>
      <c r="D3">
        <v>2813</v>
      </c>
    </row>
    <row r="4" spans="1:4" x14ac:dyDescent="0.2">
      <c r="A4" t="s">
        <v>4</v>
      </c>
      <c r="B4">
        <v>50111</v>
      </c>
      <c r="C4">
        <v>31456</v>
      </c>
      <c r="D4">
        <v>17622</v>
      </c>
    </row>
    <row r="5" spans="1:4" x14ac:dyDescent="0.2">
      <c r="A5" t="s">
        <v>5</v>
      </c>
      <c r="B5" s="1">
        <v>756395</v>
      </c>
      <c r="C5">
        <v>733075</v>
      </c>
      <c r="D5">
        <v>499642</v>
      </c>
    </row>
    <row r="6" spans="1:4" x14ac:dyDescent="0.2">
      <c r="A6" t="s">
        <v>6</v>
      </c>
      <c r="B6" s="1">
        <v>215036</v>
      </c>
      <c r="C6">
        <v>339606</v>
      </c>
      <c r="D6">
        <v>445690</v>
      </c>
    </row>
    <row r="7" spans="1:4" x14ac:dyDescent="0.2">
      <c r="A7" t="s">
        <v>1</v>
      </c>
      <c r="B7">
        <v>32668</v>
      </c>
      <c r="C7">
        <v>156792</v>
      </c>
      <c r="D7">
        <v>105937</v>
      </c>
    </row>
    <row r="8" spans="1:4" x14ac:dyDescent="0.2">
      <c r="A8" t="s">
        <v>2</v>
      </c>
      <c r="B8">
        <v>90664</v>
      </c>
      <c r="C8">
        <v>249249</v>
      </c>
      <c r="D8">
        <v>380344</v>
      </c>
    </row>
    <row r="10" spans="1:4" x14ac:dyDescent="0.2">
      <c r="A10" t="s">
        <v>10</v>
      </c>
      <c r="B10">
        <f>B3+B4</f>
        <v>57585</v>
      </c>
      <c r="C10">
        <f t="shared" ref="C10:D10" si="0">C3+C4</f>
        <v>35892</v>
      </c>
      <c r="D10">
        <f t="shared" si="0"/>
        <v>20435</v>
      </c>
    </row>
    <row r="11" spans="1:4" x14ac:dyDescent="0.2">
      <c r="A11" t="s">
        <v>7</v>
      </c>
      <c r="B11" s="1">
        <v>756395</v>
      </c>
      <c r="C11">
        <f>C5-C7</f>
        <v>576283</v>
      </c>
      <c r="D11">
        <f>D5-D7</f>
        <v>393705</v>
      </c>
    </row>
    <row r="12" spans="1:4" x14ac:dyDescent="0.2">
      <c r="A12" t="s">
        <v>8</v>
      </c>
      <c r="B12">
        <f>B6-B8</f>
        <v>124372</v>
      </c>
      <c r="C12">
        <f>C6-C8</f>
        <v>90357</v>
      </c>
      <c r="D12">
        <f>D6-D8</f>
        <v>65346</v>
      </c>
    </row>
    <row r="13" spans="1:4" x14ac:dyDescent="0.2">
      <c r="A13" t="s">
        <v>9</v>
      </c>
      <c r="B13">
        <f>SUM(B7:B8)</f>
        <v>123332</v>
      </c>
      <c r="C13">
        <f>SUM(C7:C8)</f>
        <v>406041</v>
      </c>
      <c r="D13">
        <f>SUM(D7:D8)</f>
        <v>486281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Кучаков Руслан Камилович</dc:creator>
  <cp:lastModifiedBy>Кучаков Руслан Камилович</cp:lastModifiedBy>
  <dcterms:created xsi:type="dcterms:W3CDTF">2026-02-08T19:10:34Z</dcterms:created>
  <dcterms:modified xsi:type="dcterms:W3CDTF">2026-02-09T10:20:20Z</dcterms:modified>
</cp:coreProperties>
</file>